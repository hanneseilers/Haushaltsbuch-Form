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Haushaltsausgaben" sheetId="1" state="visible" r:id="rId3"/>
    <sheet name="Diagramm" sheetId="2" state="visible" r:id="rId4"/>
    <sheet name="Saldo" sheetId="3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<sst xmlns="http://schemas.openxmlformats.org/spreadsheetml/2006/main" count="145" uniqueCount="55">
  <si>
    <t xml:space="preserve">Tag</t>
  </si>
  <si>
    <t xml:space="preserve">Brot</t>
  </si>
  <si>
    <t xml:space="preserve">Kartoffeln/ Nudeln</t>
  </si>
  <si>
    <t xml:space="preserve">Eier</t>
  </si>
  <si>
    <t xml:space="preserve">Wurst</t>
  </si>
  <si>
    <t xml:space="preserve">Fleisch</t>
  </si>
  <si>
    <t xml:space="preserve">Käse</t>
  </si>
  <si>
    <t xml:space="preserve">Milch</t>
  </si>
  <si>
    <t xml:space="preserve">Milchprodukte</t>
  </si>
  <si>
    <t xml:space="preserve">Butter/ Margarine</t>
  </si>
  <si>
    <t xml:space="preserve">Konfitüre /  Aufstrich</t>
  </si>
  <si>
    <t xml:space="preserve">Fertiggerichte</t>
  </si>
  <si>
    <t xml:space="preserve">Dosenfutter</t>
  </si>
  <si>
    <t xml:space="preserve">Obst</t>
  </si>
  <si>
    <t xml:space="preserve">Gemüse</t>
  </si>
  <si>
    <t xml:space="preserve">Süßigkeiten</t>
  </si>
  <si>
    <t xml:space="preserve">Getränke</t>
  </si>
  <si>
    <t xml:space="preserve">andere Nahrungsmittel</t>
  </si>
  <si>
    <t xml:space="preserve">Reinigungs-mittel</t>
  </si>
  <si>
    <t xml:space="preserve">Toiletten-papier</t>
  </si>
  <si>
    <t xml:space="preserve">Taschentücher /  Haushaltsrollen</t>
  </si>
  <si>
    <t xml:space="preserve">Badezimmer-artikel</t>
  </si>
  <si>
    <t xml:space="preserve">weiteres</t>
  </si>
  <si>
    <t xml:space="preserve">Mensa</t>
  </si>
  <si>
    <t xml:space="preserve">Uni</t>
  </si>
  <si>
    <t xml:space="preserve">Bücher</t>
  </si>
  <si>
    <t xml:space="preserve">Schule/ Büro</t>
  </si>
  <si>
    <t xml:space="preserve">Kleidung</t>
  </si>
  <si>
    <t xml:space="preserve">Porto &amp; Verpackung</t>
  </si>
  <si>
    <t xml:space="preserve">Möbel</t>
  </si>
  <si>
    <t xml:space="preserve">Geschenke</t>
  </si>
  <si>
    <t xml:space="preserve">Arzneimittel</t>
  </si>
  <si>
    <t xml:space="preserve">Benzin &amp; Bahn</t>
  </si>
  <si>
    <t xml:space="preserve">Reisekosten</t>
  </si>
  <si>
    <t xml:space="preserve">tech. Geräte</t>
  </si>
  <si>
    <t xml:space="preserve">Haus und Garten</t>
  </si>
  <si>
    <t xml:space="preserve">Sonstiges</t>
  </si>
  <si>
    <t xml:space="preserve">Tages-Gesamt</t>
  </si>
  <si>
    <t xml:space="preserve">Bemerkungen</t>
  </si>
  <si>
    <t xml:space="preserve"> </t>
  </si>
  <si>
    <t xml:space="preserve">  </t>
  </si>
  <si>
    <t xml:space="preserve">GESAMT:</t>
  </si>
  <si>
    <t xml:space="preserve">Haushalt:</t>
  </si>
  <si>
    <t xml:space="preserve">Miete:</t>
  </si>
  <si>
    <t xml:space="preserve">Tel./ Handy:</t>
  </si>
  <si>
    <t xml:space="preserve">Internet:</t>
  </si>
  <si>
    <t xml:space="preserve">Vereine:</t>
  </si>
  <si>
    <t xml:space="preserve">GEZ</t>
  </si>
  <si>
    <t xml:space="preserve">Nebenkosten:</t>
  </si>
  <si>
    <t xml:space="preserve">Gehalt Nise</t>
  </si>
  <si>
    <t xml:space="preserve">Gehalt Hanni</t>
  </si>
  <si>
    <t xml:space="preserve">Geschenke:</t>
  </si>
  <si>
    <t xml:space="preserve">Saldo:</t>
  </si>
  <si>
    <t xml:space="preserve">Monat:</t>
  </si>
  <si>
    <t xml:space="preserve">Jahr: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</si>
</sst>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dd/mm/yyyy"/>
    <numFmt numFmtId="166" formatCode="0.00_ ;[RED]\-0.00\ "/>
    <numFmt numFmtId="167" formatCode="#,##0.00&quot; €&quot;;[RED]\-#,##0.00&quot; €&quot;"/>
    <numFmt numFmtId="168" formatCode="#,##0.00&quot; €&quot;"/>
    <numFmt numFmtId="169" formatCode="0"/>
  </numFmts>
  <fonts count="1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FF0000"/>
      <name val="Calibri"/>
      <family val="2"/>
      <charset val="1"/>
    </font>
    <font>
      <sz val="10"/>
      <color rgb="FF000000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sz val="10"/>
      <name val="Calibri"/>
      <family val="2"/>
      <charset val="1"/>
    </font>
    <font>
      <b val="true"/>
      <i val="true"/>
      <sz val="10"/>
      <color rgb="FF000000"/>
      <name val="Calibri"/>
      <family val="2"/>
      <charset val="1"/>
    </font>
    <font>
      <b val="true"/>
      <sz val="18"/>
      <color rgb="FF000000"/>
      <name val="Calibri"/>
      <family val="2"/>
    </font>
    <font>
      <sz val="10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2F2F2"/>
        <bgColor rgb="FFEBF1DE"/>
      </patternFill>
    </fill>
    <fill>
      <patternFill patternType="solid">
        <fgColor rgb="FFDBEEF4"/>
        <bgColor rgb="FFDCE6F2"/>
      </patternFill>
    </fill>
    <fill>
      <patternFill patternType="solid">
        <fgColor rgb="FFFDEADA"/>
        <bgColor rgb="FFEBF1DE"/>
      </patternFill>
    </fill>
    <fill>
      <patternFill patternType="solid">
        <fgColor rgb="FFEBF1DE"/>
        <bgColor rgb="FFF2F2F2"/>
      </patternFill>
    </fill>
    <fill>
      <patternFill patternType="solid">
        <fgColor rgb="FFF2DCDB"/>
        <bgColor rgb="FFFDEADA"/>
      </patternFill>
    </fill>
    <fill>
      <patternFill patternType="solid">
        <fgColor rgb="FFDCE6F2"/>
        <bgColor rgb="FFDBEEF4"/>
      </patternFill>
    </fill>
    <fill>
      <patternFill patternType="solid">
        <fgColor rgb="FFF79646"/>
        <bgColor rgb="FFEB8F42"/>
      </patternFill>
    </fill>
  </fills>
  <borders count="11">
    <border diagonalUp="false" diagonalDown="false">
      <left/>
      <right/>
      <top/>
      <bottom/>
      <diagonal/>
    </border>
    <border diagonalUp="false" diagonalDown="false">
      <left/>
      <right style="medium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3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4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5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6" borderId="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2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7" fontId="5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7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4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5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6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6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8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5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8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Rot" xfId="20"/>
  </cellStyles>
  <dxfs count="1">
    <dxf>
      <font>
        <name val="Calibri"/>
        <charset val="1"/>
        <family val="2"/>
        <color rgb="FFFF0000"/>
        <sz val="10"/>
      </font>
    </dxf>
  </dxfs>
  <colors>
    <indexedColors>
      <rgbColor rgb="FF000000"/>
      <rgbColor rgb="FFFFFFFF"/>
      <rgbColor rgb="FFFF0000"/>
      <rgbColor rgb="FF8AA64F"/>
      <rgbColor rgb="FFC1DAE4"/>
      <rgbColor rgb="FFC0D2A3"/>
      <rgbColor rgb="FFD09493"/>
      <rgbColor rgb="FF92C3D5"/>
      <rgbColor rgb="FFB66E33"/>
      <rgbColor rgb="FF4F81BD"/>
      <rgbColor rgb="FFF2DCDB"/>
      <rgbColor rgb="FF728A41"/>
      <rgbColor rgb="FFB74C49"/>
      <rgbColor rgb="FF3C799D"/>
      <rgbColor rgb="FFCCC5D7"/>
      <rgbColor rgb="FF937FAE"/>
      <rgbColor rgb="FF93A9CE"/>
      <rgbColor rgb="FF8E3B38"/>
      <rgbColor rgb="FFEBF1DE"/>
      <rgbColor rgb="FFDBEEF4"/>
      <rgbColor rgb="FFA8C378"/>
      <rgbColor rgb="FFEB8F42"/>
      <rgbColor rgb="FF3D6796"/>
      <rgbColor rgb="FFC2CCE1"/>
      <rgbColor rgb="FFF2F2F2"/>
      <rgbColor rgb="FFE2C2C1"/>
      <rgbColor rgb="FFB8CD97"/>
      <rgbColor rgb="FFA1B3D3"/>
      <rgbColor rgb="FFC77372"/>
      <rgbColor rgb="FFD3803B"/>
      <rgbColor rgb="FF4299B0"/>
      <rgbColor rgb="FFD9D9D9"/>
      <rgbColor rgb="FF71B6CC"/>
      <rgbColor rgb="FFDCE6F2"/>
      <rgbColor rgb="FFD4E0C3"/>
      <rgbColor rgb="FFFDEADA"/>
      <rgbColor rgb="FF9FC9D9"/>
      <rgbColor rgb="FFD5A1A0"/>
      <rgbColor rgb="FFB3A7C4"/>
      <rgbColor rgb="FFF9BD9E"/>
      <rgbColor rgb="FF4B7BB4"/>
      <rgbColor rgb="FF47A4BD"/>
      <rgbColor rgb="FF94B255"/>
      <rgbColor rgb="FFF7A46E"/>
      <rgbColor rgb="FFF79646"/>
      <rgbColor rgb="FFDC853E"/>
      <rgbColor rgb="FF7A5F9A"/>
      <rgbColor rgb="FFA99BBD"/>
      <rgbColor rgb="FF7394C4"/>
      <rgbColor rgb="FF4093A9"/>
      <rgbColor rgb="FF84A04C"/>
      <rgbColor rgb="FF725990"/>
      <rgbColor rgb="FFAB4744"/>
      <rgbColor rgb="FFA44441"/>
      <rgbColor rgb="FF5E4977"/>
      <rgbColor rgb="FF6D558A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Haushaltsausgaben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1"/>
        <c:ser>
          <c:idx val="0"/>
          <c:order val="0"/>
          <c:tx>
            <c:strRef>
              <c:f>"Haushaltsausgaben"</c:f>
              <c:strCache>
                <c:ptCount val="1"/>
                <c:pt idx="0">
                  <c:v>Haushaltsausgaben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explosion val="25"/>
          <c:dPt>
            <c:idx val="0"/>
            <c:explosion val="25"/>
            <c:spPr>
              <a:solidFill>
                <a:srgbClr val="3a5f8b"/>
              </a:solidFill>
              <a:ln w="0">
                <a:noFill/>
              </a:ln>
            </c:spPr>
          </c:dPt>
          <c:dPt>
            <c:idx val="1"/>
            <c:explosion val="25"/>
            <c:spPr>
              <a:solidFill>
                <a:srgbClr val="8e3b38"/>
              </a:solidFill>
              <a:ln w="0">
                <a:noFill/>
              </a:ln>
            </c:spPr>
          </c:dPt>
          <c:dPt>
            <c:idx val="2"/>
            <c:explosion val="25"/>
            <c:spPr>
              <a:solidFill>
                <a:srgbClr val="728a41"/>
              </a:solidFill>
              <a:ln w="0">
                <a:noFill/>
              </a:ln>
            </c:spPr>
          </c:dPt>
          <c:dPt>
            <c:idx val="3"/>
            <c:explosion val="25"/>
            <c:spPr>
              <a:solidFill>
                <a:srgbClr val="5e4977"/>
              </a:solidFill>
              <a:ln w="0">
                <a:noFill/>
              </a:ln>
            </c:spPr>
          </c:dPt>
          <c:dPt>
            <c:idx val="4"/>
            <c:explosion val="25"/>
            <c:spPr>
              <a:solidFill>
                <a:srgbClr val="377f92"/>
              </a:solidFill>
              <a:ln w="0">
                <a:noFill/>
              </a:ln>
            </c:spPr>
          </c:dPt>
          <c:dPt>
            <c:idx val="5"/>
            <c:explosion val="25"/>
            <c:spPr>
              <a:solidFill>
                <a:srgbClr val="b66e33"/>
              </a:solidFill>
              <a:ln w="0">
                <a:noFill/>
              </a:ln>
            </c:spPr>
          </c:dPt>
          <c:dPt>
            <c:idx val="6"/>
            <c:explosion val="25"/>
            <c:spPr>
              <a:solidFill>
                <a:srgbClr val="436ea1"/>
              </a:solidFill>
              <a:ln w="0">
                <a:noFill/>
              </a:ln>
            </c:spPr>
          </c:dPt>
          <c:dPt>
            <c:idx val="7"/>
            <c:explosion val="25"/>
            <c:spPr>
              <a:solidFill>
                <a:srgbClr val="a44441"/>
              </a:solidFill>
              <a:ln w="0">
                <a:noFill/>
              </a:ln>
            </c:spPr>
          </c:dPt>
          <c:dPt>
            <c:idx val="8"/>
            <c:explosion val="25"/>
            <c:spPr>
              <a:solidFill>
                <a:srgbClr val="84a04c"/>
              </a:solidFill>
              <a:ln w="0">
                <a:noFill/>
              </a:ln>
            </c:spPr>
          </c:dPt>
          <c:dPt>
            <c:idx val="9"/>
            <c:explosion val="25"/>
            <c:spPr>
              <a:solidFill>
                <a:srgbClr val="6d558a"/>
              </a:solidFill>
              <a:ln w="0">
                <a:noFill/>
              </a:ln>
            </c:spPr>
          </c:dPt>
          <c:dPt>
            <c:idx val="10"/>
            <c:explosion val="25"/>
            <c:spPr>
              <a:solidFill>
                <a:srgbClr val="4093a9"/>
              </a:solidFill>
              <a:ln w="0">
                <a:noFill/>
              </a:ln>
            </c:spPr>
          </c:dPt>
          <c:dPt>
            <c:idx val="11"/>
            <c:explosion val="25"/>
            <c:spPr>
              <a:solidFill>
                <a:srgbClr val="d3803b"/>
              </a:solidFill>
              <a:ln w="0">
                <a:noFill/>
              </a:ln>
            </c:spPr>
          </c:dPt>
          <c:dPt>
            <c:idx val="12"/>
            <c:explosion val="25"/>
            <c:spPr>
              <a:solidFill>
                <a:srgbClr val="4b7bb4"/>
              </a:solidFill>
              <a:ln w="0">
                <a:noFill/>
              </a:ln>
            </c:spPr>
          </c:dPt>
          <c:dPt>
            <c:idx val="13"/>
            <c:explosion val="25"/>
            <c:spPr>
              <a:solidFill>
                <a:srgbClr val="b74c49"/>
              </a:solidFill>
              <a:ln w="0">
                <a:noFill/>
              </a:ln>
            </c:spPr>
          </c:dPt>
          <c:dPt>
            <c:idx val="14"/>
            <c:explosion val="25"/>
            <c:spPr>
              <a:solidFill>
                <a:srgbClr val="94b255"/>
              </a:solidFill>
              <a:ln w="0">
                <a:noFill/>
              </a:ln>
            </c:spPr>
          </c:dPt>
          <c:dPt>
            <c:idx val="15"/>
            <c:explosion val="25"/>
            <c:spPr>
              <a:solidFill>
                <a:srgbClr val="7a5f9a"/>
              </a:solidFill>
              <a:ln w="0">
                <a:noFill/>
              </a:ln>
            </c:spPr>
          </c:dPt>
          <c:dPt>
            <c:idx val="16"/>
            <c:explosion val="25"/>
            <c:spPr>
              <a:solidFill>
                <a:srgbClr val="47a4bd"/>
              </a:solidFill>
              <a:ln w="0">
                <a:noFill/>
              </a:ln>
            </c:spPr>
          </c:dPt>
          <c:dPt>
            <c:idx val="17"/>
            <c:explosion val="25"/>
            <c:spPr>
              <a:solidFill>
                <a:srgbClr val="eb8f42"/>
              </a:solidFill>
              <a:ln w="0">
                <a:noFill/>
              </a:ln>
            </c:spPr>
          </c:dPt>
          <c:dPt>
            <c:idx val="18"/>
            <c:explosion val="25"/>
            <c:spPr>
              <a:solidFill>
                <a:srgbClr val="7394c4"/>
              </a:solidFill>
              <a:ln w="0">
                <a:noFill/>
              </a:ln>
            </c:spPr>
          </c:dPt>
          <c:dPt>
            <c:idx val="19"/>
            <c:explosion val="25"/>
            <c:spPr>
              <a:solidFill>
                <a:srgbClr val="c77372"/>
              </a:solidFill>
              <a:ln w="0">
                <a:noFill/>
              </a:ln>
            </c:spPr>
          </c:dPt>
          <c:dPt>
            <c:idx val="20"/>
            <c:explosion val="25"/>
            <c:spPr>
              <a:solidFill>
                <a:srgbClr val="a8c378"/>
              </a:solidFill>
              <a:ln w="0">
                <a:noFill/>
              </a:ln>
            </c:spPr>
          </c:dPt>
          <c:dPt>
            <c:idx val="21"/>
            <c:explosion val="25"/>
            <c:spPr>
              <a:solidFill>
                <a:srgbClr val="937fae"/>
              </a:solidFill>
              <a:ln w="0">
                <a:noFill/>
              </a:ln>
            </c:spPr>
          </c:dPt>
          <c:dPt>
            <c:idx val="22"/>
            <c:explosion val="25"/>
            <c:spPr>
              <a:solidFill>
                <a:srgbClr val="71b6cc"/>
              </a:solidFill>
              <a:ln w="0">
                <a:noFill/>
              </a:ln>
            </c:spPr>
          </c:dPt>
          <c:dPt>
            <c:idx val="23"/>
            <c:explosion val="25"/>
            <c:spPr>
              <a:solidFill>
                <a:srgbClr val="f7a46e"/>
              </a:solidFill>
              <a:ln w="0">
                <a:noFill/>
              </a:ln>
            </c:spPr>
          </c:dPt>
          <c:dPt>
            <c:idx val="24"/>
            <c:explosion val="25"/>
            <c:spPr>
              <a:solidFill>
                <a:srgbClr val="a1b3d3"/>
              </a:solidFill>
              <a:ln w="0">
                <a:noFill/>
              </a:ln>
            </c:spPr>
          </c:dPt>
          <c:dPt>
            <c:idx val="25"/>
            <c:explosion val="25"/>
            <c:spPr>
              <a:solidFill>
                <a:srgbClr val="d5a1a0"/>
              </a:solidFill>
              <a:ln w="0">
                <a:noFill/>
              </a:ln>
            </c:spPr>
          </c:dPt>
          <c:dPt>
            <c:idx val="26"/>
            <c:explosion val="25"/>
            <c:spPr>
              <a:solidFill>
                <a:srgbClr val="c0d2a3"/>
              </a:solidFill>
              <a:ln w="0">
                <a:noFill/>
              </a:ln>
            </c:spPr>
          </c:dPt>
          <c:dPt>
            <c:idx val="27"/>
            <c:explosion val="25"/>
            <c:spPr>
              <a:solidFill>
                <a:srgbClr val="b3a7c4"/>
              </a:solidFill>
              <a:ln w="0">
                <a:noFill/>
              </a:ln>
            </c:spPr>
          </c:dPt>
          <c:dPt>
            <c:idx val="28"/>
            <c:explosion val="25"/>
            <c:spPr>
              <a:solidFill>
                <a:srgbClr val="9fc9d9"/>
              </a:solidFill>
              <a:ln w="0">
                <a:noFill/>
              </a:ln>
            </c:spPr>
          </c:dPt>
          <c:dPt>
            <c:idx val="29"/>
            <c:explosion val="25"/>
            <c:spPr>
              <a:solidFill>
                <a:srgbClr val="f9bd9e"/>
              </a:solidFill>
              <a:ln w="0">
                <a:noFill/>
              </a:ln>
            </c:spPr>
          </c:dPt>
          <c:dPt>
            <c:idx val="30"/>
            <c:explosion val="25"/>
            <c:spPr>
              <a:solidFill>
                <a:srgbClr val="c2cce1"/>
              </a:solidFill>
              <a:ln w="0">
                <a:noFill/>
              </a:ln>
            </c:spPr>
          </c:dPt>
          <c:dPt>
            <c:idx val="31"/>
            <c:explosion val="25"/>
            <c:spPr>
              <a:solidFill>
                <a:srgbClr val="e2c2c1"/>
              </a:solidFill>
              <a:ln w="0">
                <a:noFill/>
              </a:ln>
            </c:spPr>
          </c:dPt>
          <c:dPt>
            <c:idx val="32"/>
            <c:explosion val="25"/>
            <c:spPr>
              <a:solidFill>
                <a:srgbClr val="d4e0c3"/>
              </a:solidFill>
              <a:ln w="0">
                <a:noFill/>
              </a:ln>
            </c:spPr>
          </c:dPt>
          <c:dPt>
            <c:idx val="33"/>
            <c:explosion val="25"/>
            <c:spPr>
              <a:solidFill>
                <a:srgbClr val="ccc5d7"/>
              </a:solidFill>
              <a:ln w="0">
                <a:noFill/>
              </a:ln>
            </c:spPr>
          </c:dPt>
          <c:dPt>
            <c:idx val="34"/>
            <c:explosion val="25"/>
            <c:spPr>
              <a:solidFill>
                <a:srgbClr val="c1dae4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5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6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7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8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9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4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5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6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7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8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9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4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multiLvlStrRef>
              <c:f>Haushaltsausgaben!$D$1:$S$1,Haushaltsausgaben!$U$1:$Y$1,Haushaltsausgaben!$AA$1:$AN$1</c:f>
              <c:multiLvlStrCache>
                <c:ptCount val="1"/>
                <c:lvl>
                  <c:pt idx="0">
                    <c:v>Sonstiges</c:v>
                  </c:pt>
                </c:lvl>
                <c:lvl>
                  <c:pt idx="0">
                    <c:v>Haus und Garten</c:v>
                  </c:pt>
                </c:lvl>
                <c:lvl>
                  <c:pt idx="0">
                    <c:v>tech. Geräte</c:v>
                  </c:pt>
                </c:lvl>
                <c:lvl>
                  <c:pt idx="0">
                    <c:v>Reisekosten</c:v>
                  </c:pt>
                </c:lvl>
                <c:lvl>
                  <c:pt idx="0">
                    <c:v>Benzin &amp; Bahn</c:v>
                  </c:pt>
                </c:lvl>
                <c:lvl>
                  <c:pt idx="0">
                    <c:v>Arzneimittel</c:v>
                  </c:pt>
                </c:lvl>
                <c:lvl>
                  <c:pt idx="0">
                    <c:v>Geschenke</c:v>
                  </c:pt>
                </c:lvl>
                <c:lvl>
                  <c:pt idx="0">
                    <c:v>Möbel</c:v>
                  </c:pt>
                </c:lvl>
                <c:lvl>
                  <c:pt idx="0">
                    <c:v>Porto &amp; Verpackung</c:v>
                  </c:pt>
                </c:lvl>
                <c:lvl>
                  <c:pt idx="0">
                    <c:v>Kleidung</c:v>
                  </c:pt>
                </c:lvl>
                <c:lvl>
                  <c:pt idx="0">
                    <c:v>Schule/ Büro</c:v>
                  </c:pt>
                </c:lvl>
                <c:lvl>
                  <c:pt idx="0">
                    <c:v>Bücher</c:v>
                  </c:pt>
                </c:lvl>
                <c:lvl>
                  <c:pt idx="0">
                    <c:v>Uni</c:v>
                  </c:pt>
                </c:lvl>
                <c:lvl>
                  <c:pt idx="0">
                    <c:v>Mensa</c:v>
                  </c:pt>
                </c:lvl>
                <c:lvl>
                  <c:pt idx="0">
                    <c:v>weiteres</c:v>
                  </c:pt>
                </c:lvl>
                <c:lvl>
                  <c:pt idx="0">
                    <c:v>Badezimmer-artikel</c:v>
                  </c:pt>
                </c:lvl>
                <c:lvl>
                  <c:pt idx="0">
                    <c:v>Taschentücher /  Haushaltsrollen</c:v>
                  </c:pt>
                </c:lvl>
                <c:lvl>
                  <c:pt idx="0">
                    <c:v>Toiletten-papier</c:v>
                  </c:pt>
                </c:lvl>
                <c:lvl>
                  <c:pt idx="0">
                    <c:v>Reinigungs-mittel</c:v>
                  </c:pt>
                </c:lvl>
                <c:lvl>
                  <c:pt idx="0">
                    <c:v>andere Nahrungsmittel</c:v>
                  </c:pt>
                </c:lvl>
                <c:lvl>
                  <c:pt idx="0">
                    <c:v>Getränke</c:v>
                  </c:pt>
                </c:lvl>
                <c:lvl>
                  <c:pt idx="0">
                    <c:v>Süßigkeiten</c:v>
                  </c:pt>
                </c:lvl>
                <c:lvl>
                  <c:pt idx="0">
                    <c:v>Gemüse</c:v>
                  </c:pt>
                </c:lvl>
                <c:lvl>
                  <c:pt idx="0">
                    <c:v>Obst</c:v>
                  </c:pt>
                </c:lvl>
                <c:lvl>
                  <c:pt idx="0">
                    <c:v>Dosenfutter</c:v>
                  </c:pt>
                </c:lvl>
                <c:lvl>
                  <c:pt idx="0">
                    <c:v>Fertiggerichte</c:v>
                  </c:pt>
                </c:lvl>
                <c:lvl>
                  <c:pt idx="0">
                    <c:v>Konfitüre /  Aufstrich</c:v>
                  </c:pt>
                </c:lvl>
                <c:lvl>
                  <c:pt idx="0">
                    <c:v>Butter/ Margarine</c:v>
                  </c:pt>
                </c:lvl>
                <c:lvl>
                  <c:pt idx="0">
                    <c:v>Milchprodukte</c:v>
                  </c:pt>
                </c:lvl>
                <c:lvl>
                  <c:pt idx="0">
                    <c:v>Milch</c:v>
                  </c:pt>
                </c:lvl>
                <c:lvl>
                  <c:pt idx="0">
                    <c:v>Käse</c:v>
                  </c:pt>
                </c:lvl>
                <c:lvl>
                  <c:pt idx="0">
                    <c:v>Fleisch</c:v>
                  </c:pt>
                </c:lvl>
                <c:lvl>
                  <c:pt idx="0">
                    <c:v>Wurst</c:v>
                  </c:pt>
                </c:lvl>
                <c:lvl>
                  <c:pt idx="0">
                    <c:v>Eier</c:v>
                  </c:pt>
                </c:lvl>
                <c:lvl>
                  <c:pt idx="0">
                    <c:v>Kartoffeln/ Nudeln</c:v>
                  </c:pt>
                </c:lvl>
              </c:multiLvlStrCache>
            </c:multiLvlStrRef>
          </c:cat>
          <c:val>
            <c:numRef>
              <c:f>Haushaltsausgaben!$D$35:$S$35,Haushaltsausgaben!$U$35:$Y$35,Haushaltsausgaben!$AA$35:$AN$35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Saldo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1"/>
        <c:ser>
          <c:idx val="0"/>
          <c:order val="0"/>
          <c:tx>
            <c:strRef>
              <c:f>"Saldo"</c:f>
              <c:strCache>
                <c:ptCount val="1"/>
                <c:pt idx="0">
                  <c:v>Saldo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explosion val="25"/>
          <c:dPt>
            <c:idx val="0"/>
            <c:explosion val="25"/>
            <c:spPr>
              <a:solidFill>
                <a:srgbClr val="4672a8"/>
              </a:solidFill>
              <a:ln w="0">
                <a:noFill/>
              </a:ln>
            </c:spPr>
          </c:dPt>
          <c:dPt>
            <c:idx val="1"/>
            <c:explosion val="25"/>
            <c:spPr>
              <a:solidFill>
                <a:srgbClr val="ab4744"/>
              </a:solidFill>
              <a:ln w="0">
                <a:noFill/>
              </a:ln>
            </c:spPr>
          </c:dPt>
          <c:dPt>
            <c:idx val="2"/>
            <c:explosion val="25"/>
            <c:spPr>
              <a:solidFill>
                <a:srgbClr val="8aa64f"/>
              </a:solidFill>
              <a:ln w="0">
                <a:noFill/>
              </a:ln>
            </c:spPr>
          </c:dPt>
          <c:dPt>
            <c:idx val="3"/>
            <c:explosion val="25"/>
            <c:spPr>
              <a:solidFill>
                <a:srgbClr val="725990"/>
              </a:solidFill>
              <a:ln w="0">
                <a:noFill/>
              </a:ln>
            </c:spPr>
          </c:dPt>
          <c:dPt>
            <c:idx val="4"/>
            <c:explosion val="25"/>
            <c:spPr>
              <a:solidFill>
                <a:srgbClr val="4299b0"/>
              </a:solidFill>
              <a:ln w="0">
                <a:noFill/>
              </a:ln>
            </c:spPr>
          </c:dPt>
          <c:dPt>
            <c:idx val="5"/>
            <c:explosion val="25"/>
            <c:spPr>
              <a:solidFill>
                <a:srgbClr val="dc853e"/>
              </a:solidFill>
              <a:ln w="0">
                <a:noFill/>
              </a:ln>
            </c:spPr>
          </c:dPt>
          <c:dPt>
            <c:idx val="6"/>
            <c:explosion val="25"/>
            <c:spPr>
              <a:solidFill>
                <a:srgbClr val="93a9ce"/>
              </a:solidFill>
              <a:ln w="0">
                <a:noFill/>
              </a:ln>
            </c:spPr>
          </c:dPt>
          <c:dPt>
            <c:idx val="7"/>
            <c:explosion val="25"/>
            <c:spPr>
              <a:solidFill>
                <a:srgbClr val="d09493"/>
              </a:solidFill>
              <a:ln w="0">
                <a:noFill/>
              </a:ln>
            </c:spPr>
          </c:dPt>
          <c:dPt>
            <c:idx val="8"/>
            <c:explosion val="25"/>
            <c:spPr>
              <a:solidFill>
                <a:srgbClr val="b8cd97"/>
              </a:solidFill>
              <a:ln w="0">
                <a:noFill/>
              </a:ln>
            </c:spPr>
          </c:dPt>
          <c:dPt>
            <c:idx val="9"/>
            <c:explosion val="25"/>
            <c:spPr>
              <a:solidFill>
                <a:srgbClr val="a99bbd"/>
              </a:solidFill>
              <a:ln w="0">
                <a:noFill/>
              </a:ln>
            </c:spPr>
          </c:dPt>
          <c:dPt>
            <c:idx val="10"/>
            <c:explosion val="25"/>
            <c:spPr>
              <a:solidFill>
                <a:srgbClr val="92c3d5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Haushaltsausgaben!$A$38:$A$48</c:f>
              <c:strCache>
                <c:ptCount val="11"/>
                <c:pt idx="0">
                  <c:v>Haushalt:</c:v>
                </c:pt>
                <c:pt idx="1">
                  <c:v>Miete:</c:v>
                </c:pt>
                <c:pt idx="2">
                  <c:v>Tel./ Handy:</c:v>
                </c:pt>
                <c:pt idx="3">
                  <c:v>Internet:</c:v>
                </c:pt>
                <c:pt idx="4">
                  <c:v>Vereine:</c:v>
                </c:pt>
                <c:pt idx="5">
                  <c:v>GEZ</c:v>
                </c:pt>
                <c:pt idx="6">
                  <c:v>Nebenkosten:</c:v>
                </c:pt>
                <c:pt idx="7">
                  <c:v/>
                </c:pt>
                <c:pt idx="8">
                  <c:v>Gehalt Nise</c:v>
                </c:pt>
                <c:pt idx="9">
                  <c:v>Gehalt Hanni</c:v>
                </c:pt>
                <c:pt idx="10">
                  <c:v>Geschenke:</c:v>
                </c:pt>
              </c:strCache>
            </c:strRef>
          </c:cat>
          <c:val>
            <c:numRef>
              <c:f>Haushaltsausgaben!$D$38:$D$48</c:f>
              <c:numCache>
                <c:formatCode>General</c:formatCode>
                <c:ptCount val="11"/>
                <c:pt idx="0">
                  <c:v>0</c:v>
                </c:pt>
                <c:pt idx="1">
                  <c:v>975</c:v>
                </c:pt>
                <c:pt idx="2">
                  <c:v>0</c:v>
                </c:pt>
                <c:pt idx="3">
                  <c:v>30</c:v>
                </c:pt>
                <c:pt idx="4">
                  <c:v>52</c:v>
                </c:pt>
                <c:pt idx="5">
                  <c:v>17.94</c:v>
                </c:pt>
                <c:pt idx="6">
                  <c:v>70</c:v>
                </c:pt>
                <c:pt idx="8">
                  <c:v>2100</c:v>
                </c:pt>
                <c:pt idx="9">
                  <c:v>1900</c:v>
                </c:pt>
                <c:pt idx="10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7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8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12</xdr:col>
      <xdr:colOff>228240</xdr:colOff>
      <xdr:row>36</xdr:row>
      <xdr:rowOff>161280</xdr:rowOff>
    </xdr:to>
    <xdr:graphicFrame>
      <xdr:nvGraphicFramePr>
        <xdr:cNvPr id="0" name="Diagramm 1"/>
        <xdr:cNvGraphicFramePr/>
      </xdr:nvGraphicFramePr>
      <xdr:xfrm>
        <a:off x="0" y="0"/>
        <a:ext cx="9303840" cy="6013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12</xdr:col>
      <xdr:colOff>228240</xdr:colOff>
      <xdr:row>36</xdr:row>
      <xdr:rowOff>161280</xdr:rowOff>
    </xdr:to>
    <xdr:graphicFrame>
      <xdr:nvGraphicFramePr>
        <xdr:cNvPr id="1" name="Diagramm 1"/>
        <xdr:cNvGraphicFramePr/>
      </xdr:nvGraphicFramePr>
      <xdr:xfrm>
        <a:off x="0" y="0"/>
        <a:ext cx="9303840" cy="6013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Q5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1" ySplit="0" topLeftCell="B1" activePane="topRight" state="frozen"/>
      <selection pane="topLeft" activeCell="A1" activeCellId="0" sqref="A1"/>
      <selection pane="topRight" activeCell="C3" activeCellId="0" sqref="C3"/>
    </sheetView>
  </sheetViews>
  <sheetFormatPr defaultColWidth="11.453125" defaultRowHeight="12.75" zeroHeight="false" outlineLevelRow="0" outlineLevelCol="0"/>
  <cols>
    <col collapsed="false" customWidth="false" hidden="false" outlineLevel="0" max="1" min="1" style="1" width="11.45"/>
    <col collapsed="false" customWidth="true" hidden="false" outlineLevel="0" max="2" min="2" style="1" width="1.73"/>
    <col collapsed="false" customWidth="true" hidden="false" outlineLevel="0" max="3" min="3" style="1" width="8"/>
    <col collapsed="false" customWidth="true" hidden="false" outlineLevel="0" max="4" min="4" style="1" width="10.18"/>
    <col collapsed="false" customWidth="true" hidden="false" outlineLevel="0" max="5" min="5" style="1" width="6"/>
    <col collapsed="false" customWidth="true" hidden="false" outlineLevel="0" max="7" min="6" style="1" width="7"/>
    <col collapsed="false" customWidth="true" hidden="false" outlineLevel="0" max="9" min="8" style="1" width="6.27"/>
    <col collapsed="false" customWidth="true" hidden="false" outlineLevel="0" max="11" min="10" style="1" width="12.54"/>
    <col collapsed="false" customWidth="true" hidden="false" outlineLevel="0" max="12" min="12" style="1" width="10.45"/>
    <col collapsed="false" customWidth="true" hidden="false" outlineLevel="0" max="13" min="13" style="1" width="12.27"/>
    <col collapsed="false" customWidth="true" hidden="false" outlineLevel="0" max="14" min="14" style="1" width="10.27"/>
    <col collapsed="false" customWidth="true" hidden="false" outlineLevel="0" max="15" min="15" style="1" width="5.82"/>
    <col collapsed="false" customWidth="true" hidden="false" outlineLevel="0" max="16" min="16" style="1" width="7.46"/>
    <col collapsed="false" customWidth="true" hidden="false" outlineLevel="0" max="18" min="17" style="1" width="9.82"/>
    <col collapsed="false" customWidth="true" hidden="false" outlineLevel="0" max="19" min="19" style="1" width="13.45"/>
    <col collapsed="false" customWidth="true" hidden="false" outlineLevel="0" max="20" min="20" style="1" width="1.53"/>
    <col collapsed="false" customWidth="true" hidden="false" outlineLevel="0" max="21" min="21" style="1" width="10.54"/>
    <col collapsed="false" customWidth="true" hidden="false" outlineLevel="0" max="22" min="22" style="1" width="10.72"/>
    <col collapsed="false" customWidth="true" hidden="false" outlineLevel="0" max="23" min="23" style="1" width="16.17"/>
    <col collapsed="false" customWidth="true" hidden="false" outlineLevel="0" max="24" min="24" style="1" width="10.82"/>
    <col collapsed="false" customWidth="true" hidden="false" outlineLevel="0" max="25" min="25" style="1" width="7.82"/>
    <col collapsed="false" customWidth="true" hidden="false" outlineLevel="0" max="26" min="26" style="1" width="2"/>
    <col collapsed="false" customWidth="true" hidden="false" outlineLevel="0" max="27" min="27" style="1" width="6.46"/>
    <col collapsed="false" customWidth="true" hidden="false" outlineLevel="0" max="28" min="28" style="1" width="7.27"/>
    <col collapsed="false" customWidth="true" hidden="false" outlineLevel="0" max="30" min="29" style="1" width="6.73"/>
    <col collapsed="false" customWidth="true" hidden="false" outlineLevel="0" max="31" min="31" style="1" width="8.27"/>
    <col collapsed="false" customWidth="true" hidden="false" outlineLevel="0" max="32" min="32" style="1" width="12"/>
    <col collapsed="false" customWidth="true" hidden="false" outlineLevel="0" max="33" min="33" style="1" width="7"/>
    <col collapsed="false" customWidth="true" hidden="false" outlineLevel="0" max="34" min="34" style="1" width="9.18"/>
    <col collapsed="false" customWidth="true" hidden="false" outlineLevel="0" max="35" min="35" style="1" width="11.17"/>
    <col collapsed="false" customWidth="true" hidden="false" outlineLevel="0" max="36" min="36" style="1" width="6.18"/>
    <col collapsed="false" customWidth="true" hidden="false" outlineLevel="0" max="37" min="37" style="1" width="10.27"/>
    <col collapsed="false" customWidth="false" hidden="false" outlineLevel="0" max="38" min="38" style="1" width="11.45"/>
    <col collapsed="false" customWidth="true" hidden="false" outlineLevel="0" max="39" min="39" style="1" width="8"/>
    <col collapsed="false" customWidth="true" hidden="false" outlineLevel="0" max="40" min="40" style="1" width="8.18"/>
    <col collapsed="false" customWidth="true" hidden="false" outlineLevel="0" max="41" min="41" style="1" width="1.47"/>
    <col collapsed="false" customWidth="true" hidden="false" outlineLevel="0" max="42" min="42" style="1" width="12"/>
    <col collapsed="false" customWidth="true" hidden="false" outlineLevel="0" max="43" min="43" style="1" width="57.27"/>
    <col collapsed="false" customWidth="false" hidden="false" outlineLevel="0" max="1024" min="44" style="1" width="11.45"/>
  </cols>
  <sheetData>
    <row r="1" s="9" customFormat="true" ht="39" hidden="false" customHeight="false" outlineLevel="0" collapsed="false">
      <c r="A1" s="2" t="s">
        <v>0</v>
      </c>
      <c r="B1" s="3"/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3"/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3"/>
      <c r="AA1" s="6" t="s">
        <v>23</v>
      </c>
      <c r="AB1" s="6" t="s">
        <v>24</v>
      </c>
      <c r="AC1" s="6" t="s">
        <v>25</v>
      </c>
      <c r="AD1" s="6" t="s">
        <v>26</v>
      </c>
      <c r="AE1" s="6" t="s">
        <v>27</v>
      </c>
      <c r="AF1" s="6" t="s">
        <v>28</v>
      </c>
      <c r="AG1" s="6" t="s">
        <v>29</v>
      </c>
      <c r="AH1" s="6" t="s">
        <v>30</v>
      </c>
      <c r="AI1" s="6" t="s">
        <v>31</v>
      </c>
      <c r="AJ1" s="6" t="s">
        <v>32</v>
      </c>
      <c r="AK1" s="6" t="s">
        <v>33</v>
      </c>
      <c r="AL1" s="6" t="s">
        <v>34</v>
      </c>
      <c r="AM1" s="6" t="s">
        <v>35</v>
      </c>
      <c r="AN1" s="6" t="s">
        <v>36</v>
      </c>
      <c r="AO1" s="3"/>
      <c r="AP1" s="7" t="s">
        <v>37</v>
      </c>
      <c r="AQ1" s="8" t="s">
        <v>38</v>
      </c>
    </row>
    <row r="2" customFormat="false" ht="6.75" hidden="false" customHeight="true" outlineLevel="0" collapsed="false">
      <c r="A2" s="10"/>
      <c r="AP2" s="11"/>
    </row>
    <row r="3" customFormat="false" ht="12.75" hidden="false" customHeight="false" outlineLevel="0" collapsed="false">
      <c r="A3" s="12" t="n">
        <v>44562</v>
      </c>
      <c r="D3" s="13"/>
      <c r="E3" s="13"/>
      <c r="F3" s="13"/>
      <c r="G3" s="13"/>
      <c r="H3" s="13"/>
      <c r="I3" s="13"/>
      <c r="J3" s="13"/>
      <c r="K3" s="13"/>
      <c r="L3" s="13"/>
      <c r="M3" s="13" t="s">
        <v>39</v>
      </c>
      <c r="N3" s="13"/>
      <c r="O3" s="13"/>
      <c r="P3" s="13" t="s">
        <v>39</v>
      </c>
      <c r="Q3" s="13" t="s">
        <v>39</v>
      </c>
      <c r="R3" s="13"/>
      <c r="S3" s="13" t="s">
        <v>39</v>
      </c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 t="s">
        <v>39</v>
      </c>
      <c r="AI3" s="13"/>
      <c r="AJ3" s="13"/>
      <c r="AK3" s="13"/>
      <c r="AL3" s="13"/>
      <c r="AM3" s="13"/>
      <c r="AN3" s="13"/>
      <c r="AP3" s="14" t="n">
        <f aca="false">SUM(D3:AN3)</f>
        <v>0</v>
      </c>
    </row>
    <row r="4" customFormat="false" ht="12.75" hidden="false" customHeight="false" outlineLevel="0" collapsed="false">
      <c r="A4" s="12" t="n">
        <v>44563</v>
      </c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 t="s">
        <v>39</v>
      </c>
      <c r="AF4" s="13"/>
      <c r="AG4" s="13"/>
      <c r="AH4" s="13" t="s">
        <v>39</v>
      </c>
      <c r="AI4" s="13"/>
      <c r="AJ4" s="13"/>
      <c r="AK4" s="13" t="s">
        <v>39</v>
      </c>
      <c r="AL4" s="13"/>
      <c r="AM4" s="13" t="s">
        <v>39</v>
      </c>
      <c r="AN4" s="13"/>
      <c r="AP4" s="14" t="n">
        <f aca="false">SUM(D4:AN4)</f>
        <v>0</v>
      </c>
    </row>
    <row r="5" customFormat="false" ht="12.75" hidden="false" customHeight="false" outlineLevel="0" collapsed="false">
      <c r="A5" s="12" t="n">
        <v>44564</v>
      </c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 t="s">
        <v>39</v>
      </c>
      <c r="AG5" s="13"/>
      <c r="AH5" s="13"/>
      <c r="AI5" s="13"/>
      <c r="AJ5" s="13"/>
      <c r="AK5" s="13"/>
      <c r="AL5" s="13"/>
      <c r="AM5" s="13"/>
      <c r="AN5" s="13"/>
      <c r="AP5" s="14" t="n">
        <f aca="false">SUM(D5:AN5)</f>
        <v>0</v>
      </c>
    </row>
    <row r="6" customFormat="false" ht="12.75" hidden="false" customHeight="false" outlineLevel="0" collapsed="false">
      <c r="A6" s="12" t="n">
        <v>44565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 t="s">
        <v>39</v>
      </c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 t="s">
        <v>39</v>
      </c>
      <c r="AJ6" s="13"/>
      <c r="AK6" s="13"/>
      <c r="AL6" s="13"/>
      <c r="AM6" s="13"/>
      <c r="AN6" s="13"/>
      <c r="AP6" s="14" t="n">
        <f aca="false">SUM(D6:AN6)</f>
        <v>0</v>
      </c>
    </row>
    <row r="7" customFormat="false" ht="12.75" hidden="false" customHeight="false" outlineLevel="0" collapsed="false">
      <c r="A7" s="12" t="n">
        <v>44566</v>
      </c>
      <c r="D7" s="13"/>
      <c r="E7" s="13"/>
      <c r="F7" s="13"/>
      <c r="G7" s="13"/>
      <c r="H7" s="13"/>
      <c r="I7" s="13" t="s">
        <v>39</v>
      </c>
      <c r="J7" s="13" t="s">
        <v>39</v>
      </c>
      <c r="K7" s="13"/>
      <c r="L7" s="13"/>
      <c r="M7" s="13"/>
      <c r="N7" s="13" t="s">
        <v>39</v>
      </c>
      <c r="O7" s="13"/>
      <c r="P7" s="13"/>
      <c r="Q7" s="13"/>
      <c r="R7" s="13"/>
      <c r="S7" s="13" t="s">
        <v>39</v>
      </c>
      <c r="T7" s="13"/>
      <c r="U7" s="13" t="s">
        <v>39</v>
      </c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 t="s">
        <v>39</v>
      </c>
      <c r="AG7" s="13"/>
      <c r="AH7" s="13"/>
      <c r="AI7" s="13"/>
      <c r="AJ7" s="13"/>
      <c r="AK7" s="13"/>
      <c r="AL7" s="13"/>
      <c r="AM7" s="13"/>
      <c r="AN7" s="13"/>
      <c r="AP7" s="14" t="n">
        <f aca="false">SUM(D7:AN7)</f>
        <v>0</v>
      </c>
    </row>
    <row r="8" customFormat="false" ht="12.75" hidden="false" customHeight="false" outlineLevel="0" collapsed="false">
      <c r="A8" s="12" t="n">
        <v>44567</v>
      </c>
      <c r="D8" s="13"/>
      <c r="E8" s="13" t="s">
        <v>39</v>
      </c>
      <c r="F8" s="13"/>
      <c r="G8" s="13"/>
      <c r="H8" s="13"/>
      <c r="I8" s="13"/>
      <c r="J8" s="13"/>
      <c r="K8" s="13"/>
      <c r="L8" s="13" t="s">
        <v>39</v>
      </c>
      <c r="M8" s="13" t="s">
        <v>39</v>
      </c>
      <c r="N8" s="13"/>
      <c r="O8" s="13"/>
      <c r="P8" s="13"/>
      <c r="Q8" s="13"/>
      <c r="R8" s="13"/>
      <c r="S8" s="13" t="s">
        <v>39</v>
      </c>
      <c r="T8" s="13"/>
      <c r="U8" s="13"/>
      <c r="V8" s="13"/>
      <c r="W8" s="13"/>
      <c r="X8" s="13"/>
      <c r="Y8" s="13"/>
      <c r="Z8" s="13"/>
      <c r="AA8" s="13" t="s">
        <v>39</v>
      </c>
      <c r="AB8" s="13" t="s">
        <v>39</v>
      </c>
      <c r="AC8" s="13" t="s">
        <v>39</v>
      </c>
      <c r="AD8" s="13"/>
      <c r="AE8" s="13"/>
      <c r="AF8" s="13" t="s">
        <v>40</v>
      </c>
      <c r="AG8" s="13"/>
      <c r="AH8" s="13" t="s">
        <v>39</v>
      </c>
      <c r="AI8" s="13" t="s">
        <v>39</v>
      </c>
      <c r="AJ8" s="13"/>
      <c r="AK8" s="13"/>
      <c r="AL8" s="13"/>
      <c r="AM8" s="13"/>
      <c r="AN8" s="13"/>
      <c r="AP8" s="14" t="n">
        <f aca="false">SUM(D8:AN8)</f>
        <v>0</v>
      </c>
    </row>
    <row r="9" customFormat="false" ht="12.75" hidden="false" customHeight="false" outlineLevel="0" collapsed="false">
      <c r="A9" s="12" t="n">
        <v>44568</v>
      </c>
      <c r="D9" s="13"/>
      <c r="E9" s="13"/>
      <c r="F9" s="13"/>
      <c r="G9" s="13"/>
      <c r="H9" s="13"/>
      <c r="I9" s="13"/>
      <c r="J9" s="13" t="s">
        <v>39</v>
      </c>
      <c r="K9" s="13"/>
      <c r="L9" s="13"/>
      <c r="M9" s="13"/>
      <c r="N9" s="13"/>
      <c r="O9" s="13" t="s">
        <v>39</v>
      </c>
      <c r="P9" s="13"/>
      <c r="Q9" s="13" t="s">
        <v>39</v>
      </c>
      <c r="R9" s="13" t="s">
        <v>39</v>
      </c>
      <c r="S9" s="13"/>
      <c r="T9" s="13"/>
      <c r="U9" s="13"/>
      <c r="V9" s="13"/>
      <c r="W9" s="13"/>
      <c r="X9" s="13" t="s">
        <v>39</v>
      </c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P9" s="14" t="n">
        <f aca="false">SUM(D9:AN9)</f>
        <v>0</v>
      </c>
    </row>
    <row r="10" customFormat="false" ht="12.75" hidden="false" customHeight="false" outlineLevel="0" collapsed="false">
      <c r="A10" s="12" t="n">
        <v>44569</v>
      </c>
      <c r="C10" s="1" t="s">
        <v>39</v>
      </c>
      <c r="D10" s="13"/>
      <c r="E10" s="13"/>
      <c r="F10" s="13" t="s">
        <v>39</v>
      </c>
      <c r="G10" s="13"/>
      <c r="H10" s="13"/>
      <c r="I10" s="13" t="s">
        <v>39</v>
      </c>
      <c r="J10" s="13" t="s">
        <v>39</v>
      </c>
      <c r="K10" s="13"/>
      <c r="L10" s="13"/>
      <c r="M10" s="13" t="s">
        <v>39</v>
      </c>
      <c r="N10" s="13" t="s">
        <v>39</v>
      </c>
      <c r="O10" s="13" t="s">
        <v>39</v>
      </c>
      <c r="P10" s="13"/>
      <c r="Q10" s="13" t="s">
        <v>39</v>
      </c>
      <c r="R10" s="13" t="s">
        <v>39</v>
      </c>
      <c r="S10" s="13" t="s">
        <v>39</v>
      </c>
      <c r="T10" s="13"/>
      <c r="U10" s="13"/>
      <c r="V10" s="13" t="s">
        <v>39</v>
      </c>
      <c r="W10" s="13"/>
      <c r="X10" s="13" t="s">
        <v>39</v>
      </c>
      <c r="Y10" s="13" t="s">
        <v>39</v>
      </c>
      <c r="Z10" s="13"/>
      <c r="AA10" s="13"/>
      <c r="AB10" s="13" t="s">
        <v>39</v>
      </c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P10" s="14" t="n">
        <f aca="false">SUM(D10:AN10)</f>
        <v>0</v>
      </c>
    </row>
    <row r="11" customFormat="false" ht="12.75" hidden="false" customHeight="false" outlineLevel="0" collapsed="false">
      <c r="A11" s="12" t="n">
        <v>44570</v>
      </c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 t="s">
        <v>39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 t="s">
        <v>39</v>
      </c>
      <c r="AP11" s="14" t="n">
        <f aca="false">SUM(D11:AN11)</f>
        <v>0</v>
      </c>
    </row>
    <row r="12" customFormat="false" ht="12.75" hidden="false" customHeight="false" outlineLevel="0" collapsed="false">
      <c r="A12" s="12" t="n">
        <v>44571</v>
      </c>
      <c r="D12" s="13"/>
      <c r="E12" s="13"/>
      <c r="F12" s="13"/>
      <c r="G12" s="13"/>
      <c r="H12" s="13"/>
      <c r="I12" s="13" t="s">
        <v>39</v>
      </c>
      <c r="J12" s="13"/>
      <c r="K12" s="13"/>
      <c r="L12" s="13"/>
      <c r="M12" s="13"/>
      <c r="N12" s="13"/>
      <c r="O12" s="13" t="s">
        <v>39</v>
      </c>
      <c r="P12" s="13"/>
      <c r="Q12" s="13" t="s">
        <v>39</v>
      </c>
      <c r="R12" s="13" t="s">
        <v>39</v>
      </c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 t="s">
        <v>39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P12" s="14" t="n">
        <f aca="false">SUM(D12:AN12)</f>
        <v>0</v>
      </c>
    </row>
    <row r="13" customFormat="false" ht="12.75" hidden="false" customHeight="false" outlineLevel="0" collapsed="false">
      <c r="A13" s="12" t="n">
        <v>44572</v>
      </c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P13" s="14" t="n">
        <f aca="false">SUM(D13:AN13)</f>
        <v>0</v>
      </c>
      <c r="AQ13" s="1" t="s">
        <v>39</v>
      </c>
    </row>
    <row r="14" customFormat="false" ht="12.75" hidden="false" customHeight="false" outlineLevel="0" collapsed="false">
      <c r="A14" s="12" t="n">
        <v>44573</v>
      </c>
      <c r="D14" s="13"/>
      <c r="E14" s="13" t="s">
        <v>39</v>
      </c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 t="s">
        <v>39</v>
      </c>
      <c r="AP14" s="14" t="n">
        <f aca="false">SUM(D14:AN14)</f>
        <v>0</v>
      </c>
    </row>
    <row r="15" customFormat="false" ht="12.75" hidden="false" customHeight="false" outlineLevel="0" collapsed="false">
      <c r="A15" s="12" t="n">
        <v>44574</v>
      </c>
      <c r="D15" s="13"/>
      <c r="E15" s="13"/>
      <c r="F15" s="13"/>
      <c r="G15" s="13"/>
      <c r="H15" s="13"/>
      <c r="I15" s="13"/>
      <c r="J15" s="13"/>
      <c r="K15" s="13"/>
      <c r="L15" s="13"/>
      <c r="M15" s="13" t="s">
        <v>39</v>
      </c>
      <c r="N15" s="13" t="s">
        <v>39</v>
      </c>
      <c r="O15" s="13"/>
      <c r="P15" s="13"/>
      <c r="Q15" s="13" t="s">
        <v>39</v>
      </c>
      <c r="R15" s="13"/>
      <c r="S15" s="13"/>
      <c r="T15" s="13"/>
      <c r="U15" s="13"/>
      <c r="V15" s="13"/>
      <c r="W15" s="13"/>
      <c r="X15" s="13"/>
      <c r="Y15" s="13"/>
      <c r="Z15" s="13"/>
      <c r="AA15" s="13" t="s">
        <v>39</v>
      </c>
      <c r="AB15" s="13" t="s">
        <v>39</v>
      </c>
      <c r="AC15" s="13" t="s">
        <v>39</v>
      </c>
      <c r="AD15" s="13"/>
      <c r="AE15" s="13"/>
      <c r="AF15" s="13"/>
      <c r="AG15" s="13"/>
      <c r="AH15" s="13" t="s">
        <v>39</v>
      </c>
      <c r="AI15" s="13"/>
      <c r="AJ15" s="13"/>
      <c r="AK15" s="13"/>
      <c r="AL15" s="13"/>
      <c r="AM15" s="13" t="s">
        <v>39</v>
      </c>
      <c r="AN15" s="13" t="s">
        <v>39</v>
      </c>
      <c r="AP15" s="14" t="n">
        <f aca="false">SUM(D15:AN15)</f>
        <v>0</v>
      </c>
    </row>
    <row r="16" customFormat="false" ht="12.75" hidden="false" customHeight="false" outlineLevel="0" collapsed="false">
      <c r="A16" s="12" t="n">
        <v>44575</v>
      </c>
      <c r="D16" s="13"/>
      <c r="E16" s="13"/>
      <c r="F16" s="13" t="s">
        <v>39</v>
      </c>
      <c r="G16" s="13"/>
      <c r="H16" s="13"/>
      <c r="I16" s="13" t="s">
        <v>39</v>
      </c>
      <c r="J16" s="13"/>
      <c r="K16" s="13"/>
      <c r="L16" s="13"/>
      <c r="M16" s="13" t="s">
        <v>39</v>
      </c>
      <c r="N16" s="13"/>
      <c r="O16" s="13" t="s">
        <v>39</v>
      </c>
      <c r="P16" s="13"/>
      <c r="Q16" s="13" t="s">
        <v>39</v>
      </c>
      <c r="R16" s="13" t="s">
        <v>39</v>
      </c>
      <c r="S16" s="13"/>
      <c r="T16" s="13"/>
      <c r="U16" s="13"/>
      <c r="V16" s="13" t="s">
        <v>39</v>
      </c>
      <c r="W16" s="13"/>
      <c r="X16" s="13" t="s">
        <v>39</v>
      </c>
      <c r="Y16" s="13"/>
      <c r="Z16" s="13"/>
      <c r="AA16" s="13"/>
      <c r="AB16" s="13"/>
      <c r="AC16" s="13" t="s">
        <v>39</v>
      </c>
      <c r="AD16" s="13"/>
      <c r="AE16" s="13"/>
      <c r="AF16" s="13"/>
      <c r="AG16" s="13"/>
      <c r="AH16" s="13" t="s">
        <v>39</v>
      </c>
      <c r="AI16" s="13"/>
      <c r="AJ16" s="13"/>
      <c r="AK16" s="13"/>
      <c r="AL16" s="13"/>
      <c r="AM16" s="13" t="s">
        <v>39</v>
      </c>
      <c r="AN16" s="13" t="s">
        <v>39</v>
      </c>
      <c r="AP16" s="14" t="n">
        <f aca="false">SUM(D16:AN16)</f>
        <v>0</v>
      </c>
    </row>
    <row r="17" customFormat="false" ht="12.75" hidden="false" customHeight="false" outlineLevel="0" collapsed="false">
      <c r="A17" s="12" t="n">
        <v>44576</v>
      </c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 t="s">
        <v>39</v>
      </c>
      <c r="S17" s="13"/>
      <c r="T17" s="13"/>
      <c r="U17" s="13"/>
      <c r="V17" s="13"/>
      <c r="W17" s="13" t="s">
        <v>39</v>
      </c>
      <c r="X17" s="13" t="s">
        <v>39</v>
      </c>
      <c r="Y17" s="13"/>
      <c r="Z17" s="13"/>
      <c r="AA17" s="13"/>
      <c r="AB17" s="13"/>
      <c r="AC17" s="13"/>
      <c r="AD17" s="13"/>
      <c r="AE17" s="13"/>
      <c r="AF17" s="13"/>
      <c r="AG17" s="13"/>
      <c r="AH17" s="13" t="s">
        <v>39</v>
      </c>
      <c r="AI17" s="13"/>
      <c r="AJ17" s="13"/>
      <c r="AK17" s="13"/>
      <c r="AL17" s="13"/>
      <c r="AM17" s="13" t="s">
        <v>39</v>
      </c>
      <c r="AN17" s="13"/>
      <c r="AP17" s="14" t="n">
        <f aca="false">SUM(D17:AN17)</f>
        <v>0</v>
      </c>
    </row>
    <row r="18" customFormat="false" ht="12.75" hidden="false" customHeight="false" outlineLevel="0" collapsed="false">
      <c r="A18" s="12" t="n">
        <v>44577</v>
      </c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 t="s">
        <v>39</v>
      </c>
      <c r="AF18" s="13"/>
      <c r="AG18" s="13"/>
      <c r="AH18" s="13"/>
      <c r="AI18" s="13"/>
      <c r="AJ18" s="13"/>
      <c r="AK18" s="13"/>
      <c r="AL18" s="13"/>
      <c r="AM18" s="13"/>
      <c r="AN18" s="13"/>
      <c r="AP18" s="14" t="n">
        <f aca="false">SUM(D18:AN18)</f>
        <v>0</v>
      </c>
    </row>
    <row r="19" customFormat="false" ht="12.75" hidden="false" customHeight="false" outlineLevel="0" collapsed="false">
      <c r="A19" s="12" t="n">
        <v>44578</v>
      </c>
      <c r="D19" s="13"/>
      <c r="E19" s="13"/>
      <c r="F19" s="13" t="s">
        <v>39</v>
      </c>
      <c r="G19" s="13"/>
      <c r="H19" s="13"/>
      <c r="I19" s="13"/>
      <c r="J19" s="13"/>
      <c r="K19" s="13"/>
      <c r="L19" s="13"/>
      <c r="M19" s="13" t="s">
        <v>39</v>
      </c>
      <c r="N19" s="13"/>
      <c r="O19" s="13" t="s">
        <v>39</v>
      </c>
      <c r="P19" s="13"/>
      <c r="Q19" s="13"/>
      <c r="R19" s="13" t="s">
        <v>39</v>
      </c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P19" s="14" t="n">
        <f aca="false">SUM(D19:AN19)</f>
        <v>0</v>
      </c>
    </row>
    <row r="20" customFormat="false" ht="12.75" hidden="false" customHeight="false" outlineLevel="0" collapsed="false">
      <c r="A20" s="12" t="n">
        <v>44579</v>
      </c>
      <c r="C20" s="1" t="s">
        <v>39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 t="s">
        <v>39</v>
      </c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P20" s="14" t="n">
        <f aca="false">SUM(D20:AN20)</f>
        <v>0</v>
      </c>
    </row>
    <row r="21" customFormat="false" ht="12.75" hidden="false" customHeight="false" outlineLevel="0" collapsed="false">
      <c r="A21" s="12" t="n">
        <v>44580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P21" s="14" t="n">
        <f aca="false">SUM(D21:AN21)</f>
        <v>0</v>
      </c>
    </row>
    <row r="22" customFormat="false" ht="12.75" hidden="false" customHeight="false" outlineLevel="0" collapsed="false">
      <c r="A22" s="12" t="n">
        <v>44581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 t="s">
        <v>39</v>
      </c>
      <c r="AF22" s="13"/>
      <c r="AG22" s="13"/>
      <c r="AH22" s="13"/>
      <c r="AI22" s="13"/>
      <c r="AJ22" s="13"/>
      <c r="AK22" s="13"/>
      <c r="AL22" s="13"/>
      <c r="AM22" s="13"/>
      <c r="AN22" s="13"/>
      <c r="AP22" s="14" t="n">
        <f aca="false">SUM(D22:AN22)</f>
        <v>0</v>
      </c>
    </row>
    <row r="23" customFormat="false" ht="12.75" hidden="false" customHeight="false" outlineLevel="0" collapsed="false">
      <c r="A23" s="12" t="n">
        <v>44582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 t="s">
        <v>39</v>
      </c>
      <c r="AI23" s="13"/>
      <c r="AJ23" s="13"/>
      <c r="AK23" s="13"/>
      <c r="AL23" s="13"/>
      <c r="AM23" s="13"/>
      <c r="AN23" s="13"/>
      <c r="AP23" s="14" t="n">
        <f aca="false">SUM(D23:AN23)</f>
        <v>0</v>
      </c>
    </row>
    <row r="24" customFormat="false" ht="12.75" hidden="false" customHeight="false" outlineLevel="0" collapsed="false">
      <c r="A24" s="12" t="n">
        <v>44583</v>
      </c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P24" s="14" t="n">
        <f aca="false">SUM(D24:AN24)</f>
        <v>0</v>
      </c>
    </row>
    <row r="25" customFormat="false" ht="12.75" hidden="false" customHeight="false" outlineLevel="0" collapsed="false">
      <c r="A25" s="12" t="n">
        <v>44584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P25" s="14" t="n">
        <f aca="false">SUM(D25:AN25)</f>
        <v>0</v>
      </c>
    </row>
    <row r="26" customFormat="false" ht="12.75" hidden="false" customHeight="false" outlineLevel="0" collapsed="false">
      <c r="A26" s="12" t="n">
        <v>44585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P26" s="14" t="n">
        <f aca="false">SUM(D26:AN26)</f>
        <v>0</v>
      </c>
    </row>
    <row r="27" customFormat="false" ht="12.75" hidden="false" customHeight="false" outlineLevel="0" collapsed="false">
      <c r="A27" s="12" t="n">
        <v>44586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P27" s="14" t="n">
        <f aca="false">SUM(D27:AN27)</f>
        <v>0</v>
      </c>
    </row>
    <row r="28" customFormat="false" ht="12.75" hidden="false" customHeight="false" outlineLevel="0" collapsed="false">
      <c r="A28" s="12" t="n">
        <v>44587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P28" s="14" t="n">
        <f aca="false">SUM(D28:AN28)</f>
        <v>0</v>
      </c>
    </row>
    <row r="29" customFormat="false" ht="12.75" hidden="false" customHeight="false" outlineLevel="0" collapsed="false">
      <c r="A29" s="12" t="n">
        <v>44588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P29" s="14" t="n">
        <f aca="false">SUM(D29:AN29)</f>
        <v>0</v>
      </c>
    </row>
    <row r="30" customFormat="false" ht="12.75" hidden="false" customHeight="false" outlineLevel="0" collapsed="false">
      <c r="A30" s="12" t="n">
        <v>44589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P30" s="14" t="n">
        <f aca="false">SUM(D30:AN30)</f>
        <v>0</v>
      </c>
    </row>
    <row r="31" customFormat="false" ht="12.75" hidden="false" customHeight="false" outlineLevel="0" collapsed="false">
      <c r="A31" s="12" t="n">
        <v>44590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P31" s="14" t="n">
        <f aca="false">SUM(D31:AN31)</f>
        <v>0</v>
      </c>
    </row>
    <row r="32" customFormat="false" ht="12.75" hidden="false" customHeight="false" outlineLevel="0" collapsed="false">
      <c r="A32" s="12" t="n">
        <v>44591</v>
      </c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P32" s="14" t="n">
        <f aca="false">SUM(D32:AN32)</f>
        <v>0</v>
      </c>
    </row>
    <row r="33" customFormat="false" ht="12.75" hidden="false" customHeight="false" outlineLevel="0" collapsed="false">
      <c r="A33" s="12" t="n">
        <v>44592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P33" s="14" t="n">
        <f aca="false">SUM(D33:AN33)</f>
        <v>0</v>
      </c>
    </row>
    <row r="34" customFormat="false" ht="6" hidden="false" customHeight="true" outlineLevel="0" collapsed="false">
      <c r="A34" s="10"/>
      <c r="AP34" s="14"/>
    </row>
    <row r="35" customFormat="false" ht="13.5" hidden="false" customHeight="false" outlineLevel="0" collapsed="false">
      <c r="A35" s="15" t="s">
        <v>41</v>
      </c>
      <c r="B35" s="16"/>
      <c r="C35" s="17" t="n">
        <f aca="false">SUM(C3:C33)</f>
        <v>0</v>
      </c>
      <c r="D35" s="17" t="n">
        <f aca="false">SUM(D3:D33)</f>
        <v>0</v>
      </c>
      <c r="E35" s="17" t="n">
        <f aca="false">SUM(E3:E33)</f>
        <v>0</v>
      </c>
      <c r="F35" s="17" t="n">
        <f aca="false">SUM(F3:F33)</f>
        <v>0</v>
      </c>
      <c r="G35" s="17"/>
      <c r="H35" s="17" t="n">
        <f aca="false">SUM(H3:H33)</f>
        <v>0</v>
      </c>
      <c r="I35" s="17" t="n">
        <f aca="false">SUM(I3:I33)</f>
        <v>0</v>
      </c>
      <c r="J35" s="17" t="n">
        <f aca="false">SUM(J3:J33)</f>
        <v>0</v>
      </c>
      <c r="K35" s="17"/>
      <c r="L35" s="17" t="n">
        <f aca="false">SUM(L3:L33)</f>
        <v>0</v>
      </c>
      <c r="M35" s="17" t="n">
        <f aca="false">SUM(M3:M33)</f>
        <v>0</v>
      </c>
      <c r="N35" s="17" t="n">
        <f aca="false">SUM(N3:N33)</f>
        <v>0</v>
      </c>
      <c r="O35" s="17" t="n">
        <f aca="false">SUM(O3:O33)</f>
        <v>0</v>
      </c>
      <c r="P35" s="17" t="n">
        <f aca="false">SUM(P3:P33)</f>
        <v>0</v>
      </c>
      <c r="Q35" s="17" t="n">
        <f aca="false">SUM(Q3:Q33)</f>
        <v>0</v>
      </c>
      <c r="R35" s="17" t="n">
        <f aca="false">SUM(R3:R33)</f>
        <v>0</v>
      </c>
      <c r="S35" s="17" t="n">
        <f aca="false">SUM(S3:S33)</f>
        <v>0</v>
      </c>
      <c r="T35" s="18"/>
      <c r="U35" s="19" t="n">
        <f aca="false">SUM(U3:U33)</f>
        <v>0</v>
      </c>
      <c r="V35" s="19" t="n">
        <f aca="false">SUM(V3:V33)</f>
        <v>0</v>
      </c>
      <c r="W35" s="19" t="n">
        <f aca="false">SUM(W3:W33)</f>
        <v>0</v>
      </c>
      <c r="X35" s="19" t="n">
        <f aca="false">SUM(X3:X33)</f>
        <v>0</v>
      </c>
      <c r="Y35" s="19" t="n">
        <f aca="false">SUM(Y3:Y33)</f>
        <v>0</v>
      </c>
      <c r="Z35" s="18"/>
      <c r="AA35" s="20" t="n">
        <f aca="false">SUM(AA3:AA33)</f>
        <v>0</v>
      </c>
      <c r="AB35" s="20" t="n">
        <f aca="false">SUM(AB3:AB33)</f>
        <v>0</v>
      </c>
      <c r="AC35" s="20" t="n">
        <f aca="false">SUM(AC3:AC33)</f>
        <v>0</v>
      </c>
      <c r="AD35" s="20"/>
      <c r="AE35" s="20" t="n">
        <f aca="false">SUM(AE3:AE33)</f>
        <v>0</v>
      </c>
      <c r="AF35" s="20" t="n">
        <f aca="false">SUM(AF3:AF33)</f>
        <v>0</v>
      </c>
      <c r="AG35" s="20" t="n">
        <f aca="false">SUM(AG3:AG33)</f>
        <v>0</v>
      </c>
      <c r="AH35" s="20" t="n">
        <f aca="false">SUM(AH3:AH33)</f>
        <v>0</v>
      </c>
      <c r="AI35" s="20" t="n">
        <f aca="false">SUM(AI3:AI33)</f>
        <v>0</v>
      </c>
      <c r="AJ35" s="20" t="n">
        <f aca="false">SUM(AJ3:AJ33)</f>
        <v>0</v>
      </c>
      <c r="AK35" s="20" t="n">
        <f aca="false">SUM(AK3:AK33)</f>
        <v>0</v>
      </c>
      <c r="AL35" s="20"/>
      <c r="AM35" s="20" t="n">
        <f aca="false">SUM(AM3:AM33)</f>
        <v>0</v>
      </c>
      <c r="AN35" s="20" t="n">
        <f aca="false">SUM(AN3:AN33)</f>
        <v>0</v>
      </c>
      <c r="AO35" s="18"/>
      <c r="AP35" s="21" t="n">
        <f aca="false">SUM(AP3:AP33)</f>
        <v>0</v>
      </c>
      <c r="AQ35" s="16"/>
    </row>
    <row r="38" customFormat="false" ht="12.75" hidden="false" customHeight="false" outlineLevel="0" collapsed="false">
      <c r="A38" s="10" t="s">
        <v>42</v>
      </c>
      <c r="D38" s="22" t="n">
        <f aca="false">AP35</f>
        <v>0</v>
      </c>
    </row>
    <row r="39" customFormat="false" ht="12.75" hidden="false" customHeight="false" outlineLevel="0" collapsed="false">
      <c r="A39" s="10" t="s">
        <v>43</v>
      </c>
      <c r="D39" s="22" t="n">
        <v>975</v>
      </c>
    </row>
    <row r="40" customFormat="false" ht="12.75" hidden="false" customHeight="false" outlineLevel="0" collapsed="false">
      <c r="A40" s="10" t="s">
        <v>44</v>
      </c>
      <c r="D40" s="22" t="n">
        <v>0</v>
      </c>
    </row>
    <row r="41" customFormat="false" ht="12.75" hidden="false" customHeight="false" outlineLevel="0" collapsed="false">
      <c r="A41" s="10" t="s">
        <v>45</v>
      </c>
      <c r="D41" s="22" t="n">
        <v>30</v>
      </c>
    </row>
    <row r="42" customFormat="false" ht="12.75" hidden="false" customHeight="false" outlineLevel="0" collapsed="false">
      <c r="A42" s="10" t="s">
        <v>46</v>
      </c>
      <c r="D42" s="22" t="n">
        <v>52</v>
      </c>
    </row>
    <row r="43" customFormat="false" ht="12.75" hidden="false" customHeight="false" outlineLevel="0" collapsed="false">
      <c r="A43" s="10" t="s">
        <v>47</v>
      </c>
      <c r="D43" s="22" t="n">
        <v>17.94</v>
      </c>
    </row>
    <row r="44" customFormat="false" ht="12.75" hidden="false" customHeight="false" outlineLevel="0" collapsed="false">
      <c r="A44" s="10" t="s">
        <v>48</v>
      </c>
      <c r="D44" s="22" t="n">
        <v>70</v>
      </c>
    </row>
    <row r="45" customFormat="false" ht="12.75" hidden="false" customHeight="false" outlineLevel="0" collapsed="false">
      <c r="A45" s="10"/>
      <c r="D45" s="23"/>
    </row>
    <row r="46" customFormat="false" ht="12.75" hidden="false" customHeight="false" outlineLevel="0" collapsed="false">
      <c r="A46" s="10" t="s">
        <v>49</v>
      </c>
      <c r="D46" s="23" t="n">
        <v>2100</v>
      </c>
    </row>
    <row r="47" customFormat="false" ht="12.75" hidden="false" customHeight="false" outlineLevel="0" collapsed="false">
      <c r="A47" s="10" t="s">
        <v>50</v>
      </c>
      <c r="D47" s="23" t="n">
        <f aca="false">1900</f>
        <v>1900</v>
      </c>
    </row>
    <row r="48" customFormat="false" ht="12.75" hidden="false" customHeight="false" outlineLevel="0" collapsed="false">
      <c r="A48" s="10" t="s">
        <v>51</v>
      </c>
      <c r="D48" s="23" t="n">
        <v>0</v>
      </c>
    </row>
    <row r="49" customFormat="false" ht="13.5" hidden="false" customHeight="false" outlineLevel="0" collapsed="false">
      <c r="A49" s="10"/>
      <c r="D49" s="23"/>
    </row>
    <row r="50" customFormat="false" ht="13.5" hidden="false" customHeight="false" outlineLevel="0" collapsed="false">
      <c r="A50" s="24" t="s">
        <v>52</v>
      </c>
      <c r="B50" s="25"/>
      <c r="C50" s="25"/>
      <c r="D50" s="26" t="n">
        <f aca="false">SUM(D46:D48)-SUM(D38:D44)</f>
        <v>2855.06</v>
      </c>
    </row>
    <row r="52" customFormat="false" ht="12.75" hidden="false" customHeight="false" outlineLevel="0" collapsed="false">
      <c r="A52" s="27" t="s">
        <v>53</v>
      </c>
      <c r="B52" s="28"/>
      <c r="C52" s="28"/>
      <c r="D52" s="29" t="n">
        <v>4</v>
      </c>
      <c r="E52" s="28"/>
      <c r="F52" s="28"/>
      <c r="G52" s="28"/>
      <c r="H52" s="27" t="s">
        <v>54</v>
      </c>
      <c r="I52" s="29" t="n">
        <v>2011</v>
      </c>
    </row>
  </sheetData>
  <conditionalFormatting sqref="A3:A33">
    <cfRule type="expression" priority="2" aboveAverage="0" equalAverage="0" bottom="0" percent="0" rank="0" text="" dxfId="0">
      <formula>WEEKDAY($A3)&gt;5</formula>
    </cfRule>
  </conditionalFormatting>
  <printOptions headings="false" gridLines="false" gridLinesSet="true" horizontalCentered="false" verticalCentered="false"/>
  <pageMargins left="0.7" right="0.7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21" zoomScaleNormal="121" zoomScalePageLayoutView="100" workbookViewId="0">
      <selection pane="topLeft" activeCell="A1" activeCellId="0" sqref="A1"/>
    </sheetView>
  </sheetViews>
  <sheetFormatPr defaultColWidth="8.5078125" defaultRowHeight="12.8" zeroHeight="false" outlineLevelRow="0" outlineLevelCol="0"/>
  <sheetData/>
  <printOptions headings="false" gridLines="false" gridLinesSet="true" horizontalCentered="false" verticalCentered="false"/>
  <pageMargins left="0.7" right="0.7" top="0.7875" bottom="0.7875" header="0.511811023622047" footer="0.511811023622047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21" zoomScaleNormal="121" zoomScalePageLayoutView="100" workbookViewId="0">
      <selection pane="topLeft" activeCell="A1" activeCellId="0" sqref="A1"/>
    </sheetView>
  </sheetViews>
  <sheetFormatPr defaultColWidth="8.5078125" defaultRowHeight="12.8" zeroHeight="false" outlineLevelRow="0" outlineLevelCol="0"/>
  <sheetData/>
  <printOptions headings="false" gridLines="false" gridLinesSet="true" horizontalCentered="false" verticalCentered="false"/>
  <pageMargins left="0.7" right="0.7" top="0.7875" bottom="0.7875" header="0.511811023622047" footer="0.511811023622047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LibreOffice/7.3.6.2$Linux_X86_64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2009-09-23T15:14:52Z</dcterms:created>
  <dc:creator>Hannes Eilers</dc:creator>
  <dc:description/>
  <dc:language>de-DE</dc:language>
  <cp:lastModifiedBy/>
  <dcterms:modified xsi:type="dcterms:W3CDTF">2022-10-09T11:58:03Z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